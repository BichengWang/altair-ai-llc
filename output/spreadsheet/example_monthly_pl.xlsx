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%"/>
    <numFmt numFmtId="166" formatCode="$#,##0;[Red]($#,##0);&quot;-&quot;"/>
    <numFmt numFmtId="167" formatCode="$#,##0.00;[Red]($#,##0.00);&quot;-&quot;"/>
  </numFmts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7F7F7F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CFEFEA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medium">
        <color rgb="00000000"/>
      </top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7" fontId="0" fillId="3" borderId="0" applyAlignment="1" pivotButton="0" quotePrefix="0" xfId="0">
      <alignment horizontal="right" vertical="center"/>
    </xf>
    <xf numFmtId="165" fontId="0" fillId="3" borderId="0" applyAlignment="1" pivotButton="0" quotePrefix="0" xfId="0">
      <alignment horizontal="right" vertical="center"/>
    </xf>
    <xf numFmtId="166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167" fontId="0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7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right" vertical="center"/>
    </xf>
    <xf numFmtId="167" fontId="0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0" fontId="4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166" fontId="4" fillId="0" borderId="2" applyAlignment="1" pivotButton="0" quotePrefix="0" xfId="0">
      <alignment horizontal="right" vertical="center"/>
    </xf>
    <xf numFmtId="166" fontId="0" fillId="5" borderId="0" applyAlignment="1" pivotButton="0" quotePrefix="0" xfId="0">
      <alignment horizontal="right" vertical="center"/>
    </xf>
    <xf numFmtId="165" fontId="0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14" customWidth="1" min="9" max="9"/>
    <col width="16" customWidth="1" min="10" max="10"/>
  </cols>
  <sheetData>
    <row r="1">
      <c r="A1" s="1" t="inlineStr">
        <is>
          <t>Example Monthly P&amp;L ($)</t>
        </is>
      </c>
    </row>
    <row r="2">
      <c r="A2" s="2" t="inlineStr">
        <is>
          <t>Example data only (no external sources)</t>
        </is>
      </c>
    </row>
    <row r="4">
      <c r="A4" s="3" t="inlineStr">
        <is>
          <t>Assumptions</t>
        </is>
      </c>
    </row>
    <row r="5">
      <c r="A5" s="4" t="inlineStr">
        <is>
          <t>Start Date</t>
        </is>
      </c>
      <c r="B5" s="5" t="n">
        <v>46023</v>
      </c>
    </row>
    <row r="6">
      <c r="A6" s="4" t="inlineStr">
        <is>
          <t>Monthly Growth %</t>
        </is>
      </c>
      <c r="B6" s="6" t="n">
        <v>0.03</v>
      </c>
    </row>
    <row r="7">
      <c r="A7" s="4" t="inlineStr">
        <is>
          <t>COGS % of Revenue</t>
        </is>
      </c>
      <c r="B7" s="6" t="n">
        <v>0.35</v>
      </c>
    </row>
    <row r="8">
      <c r="A8" s="4" t="inlineStr">
        <is>
          <t>Fixed Expenses ($)</t>
        </is>
      </c>
      <c r="B8" s="7" t="n">
        <v>22000</v>
      </c>
    </row>
    <row r="9">
      <c r="A9" s="4" t="inlineStr">
        <is>
          <t>Variable Expense % of Revenue</t>
        </is>
      </c>
      <c r="B9" s="6" t="n">
        <v>0.12</v>
      </c>
    </row>
    <row r="10">
      <c r="A10" s="4" t="inlineStr">
        <is>
          <t>Tax Rate</t>
        </is>
      </c>
      <c r="B10" s="6" t="n">
        <v>0.25</v>
      </c>
    </row>
    <row r="11">
      <c r="A11" s="4" t="inlineStr">
        <is>
          <t>Units Sold (Jan)</t>
        </is>
      </c>
      <c r="B11" s="8" t="n">
        <v>1200</v>
      </c>
    </row>
    <row r="12">
      <c r="A12" s="4" t="inlineStr">
        <is>
          <t>Avg Price per Unit ($)</t>
        </is>
      </c>
      <c r="B12" s="9" t="n">
        <v>42</v>
      </c>
    </row>
    <row r="14">
      <c r="A14" s="3" t="inlineStr">
        <is>
          <t>Monthly P&amp;L</t>
        </is>
      </c>
    </row>
    <row r="15">
      <c r="A15" s="10" t="inlineStr">
        <is>
          <t>Month</t>
        </is>
      </c>
      <c r="B15" s="10" t="inlineStr">
        <is>
          <t>Units</t>
        </is>
      </c>
      <c r="C15" s="10" t="inlineStr">
        <is>
          <t>Price ($)</t>
        </is>
      </c>
      <c r="D15" s="10" t="inlineStr">
        <is>
          <t>Revenue ($)</t>
        </is>
      </c>
      <c r="E15" s="10" t="inlineStr">
        <is>
          <t>COGS ($)</t>
        </is>
      </c>
      <c r="F15" s="10" t="inlineStr">
        <is>
          <t>Gross Profit ($)</t>
        </is>
      </c>
      <c r="G15" s="10" t="inlineStr">
        <is>
          <t>Expenses ($)</t>
        </is>
      </c>
      <c r="H15" s="10" t="inlineStr">
        <is>
          <t>Operating Income ($)</t>
        </is>
      </c>
      <c r="I15" s="10" t="inlineStr">
        <is>
          <t>Taxes ($)</t>
        </is>
      </c>
      <c r="J15" s="10" t="inlineStr">
        <is>
          <t>Net Income ($)</t>
        </is>
      </c>
    </row>
    <row r="16">
      <c r="A16" s="11">
        <f>$B$5</f>
        <v/>
      </c>
      <c r="B16" s="12">
        <f>$B$11</f>
        <v/>
      </c>
      <c r="C16" s="13">
        <f>$B$12</f>
        <v/>
      </c>
      <c r="D16" s="14">
        <f>B16*C16</f>
        <v/>
      </c>
      <c r="E16" s="14">
        <f>D16*$B$7</f>
        <v/>
      </c>
      <c r="F16" s="14">
        <f>D16-E16</f>
        <v/>
      </c>
      <c r="G16" s="14">
        <f>$B$8 + D16*$B$9</f>
        <v/>
      </c>
      <c r="H16" s="14">
        <f>F16-G16</f>
        <v/>
      </c>
      <c r="I16" s="14">
        <f>IF(H16&gt;0,H16*$B$10,0)</f>
        <v/>
      </c>
      <c r="J16" s="14">
        <f>H16-I16</f>
        <v/>
      </c>
    </row>
    <row r="17">
      <c r="A17" s="11">
        <f>EDATE(A16,1)</f>
        <v/>
      </c>
      <c r="B17" s="12">
        <f>B16*(1+$B$6)</f>
        <v/>
      </c>
      <c r="C17" s="13">
        <f>$B$12</f>
        <v/>
      </c>
      <c r="D17" s="14">
        <f>B17*C17</f>
        <v/>
      </c>
      <c r="E17" s="14">
        <f>D17*$B$7</f>
        <v/>
      </c>
      <c r="F17" s="14">
        <f>D17-E17</f>
        <v/>
      </c>
      <c r="G17" s="14">
        <f>$B$8 + D17*$B$9</f>
        <v/>
      </c>
      <c r="H17" s="14">
        <f>F17-G17</f>
        <v/>
      </c>
      <c r="I17" s="14">
        <f>IF(H17&gt;0,H17*$B$10,0)</f>
        <v/>
      </c>
      <c r="J17" s="14">
        <f>H17-I17</f>
        <v/>
      </c>
    </row>
    <row r="18">
      <c r="A18" s="11">
        <f>EDATE(A17,1)</f>
        <v/>
      </c>
      <c r="B18" s="12">
        <f>B17*(1+$B$6)</f>
        <v/>
      </c>
      <c r="C18" s="13">
        <f>$B$12</f>
        <v/>
      </c>
      <c r="D18" s="14">
        <f>B18*C18</f>
        <v/>
      </c>
      <c r="E18" s="14">
        <f>D18*$B$7</f>
        <v/>
      </c>
      <c r="F18" s="14">
        <f>D18-E18</f>
        <v/>
      </c>
      <c r="G18" s="14">
        <f>$B$8 + D18*$B$9</f>
        <v/>
      </c>
      <c r="H18" s="14">
        <f>F18-G18</f>
        <v/>
      </c>
      <c r="I18" s="14">
        <f>IF(H18&gt;0,H18*$B$10,0)</f>
        <v/>
      </c>
      <c r="J18" s="14">
        <f>H18-I18</f>
        <v/>
      </c>
    </row>
    <row r="19">
      <c r="A19" s="11">
        <f>EDATE(A18,1)</f>
        <v/>
      </c>
      <c r="B19" s="12">
        <f>B18*(1+$B$6)</f>
        <v/>
      </c>
      <c r="C19" s="13">
        <f>$B$12</f>
        <v/>
      </c>
      <c r="D19" s="14">
        <f>B19*C19</f>
        <v/>
      </c>
      <c r="E19" s="14">
        <f>D19*$B$7</f>
        <v/>
      </c>
      <c r="F19" s="14">
        <f>D19-E19</f>
        <v/>
      </c>
      <c r="G19" s="14">
        <f>$B$8 + D19*$B$9</f>
        <v/>
      </c>
      <c r="H19" s="14">
        <f>F19-G19</f>
        <v/>
      </c>
      <c r="I19" s="14">
        <f>IF(H19&gt;0,H19*$B$10,0)</f>
        <v/>
      </c>
      <c r="J19" s="14">
        <f>H19-I19</f>
        <v/>
      </c>
    </row>
    <row r="20">
      <c r="A20" s="11">
        <f>EDATE(A19,1)</f>
        <v/>
      </c>
      <c r="B20" s="12">
        <f>B19*(1+$B$6)</f>
        <v/>
      </c>
      <c r="C20" s="13">
        <f>$B$12</f>
        <v/>
      </c>
      <c r="D20" s="14">
        <f>B20*C20</f>
        <v/>
      </c>
      <c r="E20" s="14">
        <f>D20*$B$7</f>
        <v/>
      </c>
      <c r="F20" s="14">
        <f>D20-E20</f>
        <v/>
      </c>
      <c r="G20" s="14">
        <f>$B$8 + D20*$B$9</f>
        <v/>
      </c>
      <c r="H20" s="14">
        <f>F20-G20</f>
        <v/>
      </c>
      <c r="I20" s="14">
        <f>IF(H20&gt;0,H20*$B$10,0)</f>
        <v/>
      </c>
      <c r="J20" s="14">
        <f>H20-I20</f>
        <v/>
      </c>
    </row>
    <row r="21">
      <c r="A21" s="11">
        <f>EDATE(A20,1)</f>
        <v/>
      </c>
      <c r="B21" s="12">
        <f>B20*(1+$B$6)</f>
        <v/>
      </c>
      <c r="C21" s="13">
        <f>$B$12</f>
        <v/>
      </c>
      <c r="D21" s="14">
        <f>B21*C21</f>
        <v/>
      </c>
      <c r="E21" s="14">
        <f>D21*$B$7</f>
        <v/>
      </c>
      <c r="F21" s="14">
        <f>D21-E21</f>
        <v/>
      </c>
      <c r="G21" s="14">
        <f>$B$8 + D21*$B$9</f>
        <v/>
      </c>
      <c r="H21" s="14">
        <f>F21-G21</f>
        <v/>
      </c>
      <c r="I21" s="14">
        <f>IF(H21&gt;0,H21*$B$10,0)</f>
        <v/>
      </c>
      <c r="J21" s="14">
        <f>H21-I21</f>
        <v/>
      </c>
    </row>
    <row r="22">
      <c r="A22" s="11">
        <f>EDATE(A21,1)</f>
        <v/>
      </c>
      <c r="B22" s="12">
        <f>B21*(1+$B$6)</f>
        <v/>
      </c>
      <c r="C22" s="13">
        <f>$B$12</f>
        <v/>
      </c>
      <c r="D22" s="14">
        <f>B22*C22</f>
        <v/>
      </c>
      <c r="E22" s="14">
        <f>D22*$B$7</f>
        <v/>
      </c>
      <c r="F22" s="14">
        <f>D22-E22</f>
        <v/>
      </c>
      <c r="G22" s="14">
        <f>$B$8 + D22*$B$9</f>
        <v/>
      </c>
      <c r="H22" s="14">
        <f>F22-G22</f>
        <v/>
      </c>
      <c r="I22" s="14">
        <f>IF(H22&gt;0,H22*$B$10,0)</f>
        <v/>
      </c>
      <c r="J22" s="14">
        <f>H22-I22</f>
        <v/>
      </c>
    </row>
    <row r="23">
      <c r="A23" s="11">
        <f>EDATE(A22,1)</f>
        <v/>
      </c>
      <c r="B23" s="12">
        <f>B22*(1+$B$6)</f>
        <v/>
      </c>
      <c r="C23" s="13">
        <f>$B$12</f>
        <v/>
      </c>
      <c r="D23" s="14">
        <f>B23*C23</f>
        <v/>
      </c>
      <c r="E23" s="14">
        <f>D23*$B$7</f>
        <v/>
      </c>
      <c r="F23" s="14">
        <f>D23-E23</f>
        <v/>
      </c>
      <c r="G23" s="14">
        <f>$B$8 + D23*$B$9</f>
        <v/>
      </c>
      <c r="H23" s="14">
        <f>F23-G23</f>
        <v/>
      </c>
      <c r="I23" s="14">
        <f>IF(H23&gt;0,H23*$B$10,0)</f>
        <v/>
      </c>
      <c r="J23" s="14">
        <f>H23-I23</f>
        <v/>
      </c>
    </row>
    <row r="24">
      <c r="A24" s="11">
        <f>EDATE(A23,1)</f>
        <v/>
      </c>
      <c r="B24" s="12">
        <f>B23*(1+$B$6)</f>
        <v/>
      </c>
      <c r="C24" s="13">
        <f>$B$12</f>
        <v/>
      </c>
      <c r="D24" s="14">
        <f>B24*C24</f>
        <v/>
      </c>
      <c r="E24" s="14">
        <f>D24*$B$7</f>
        <v/>
      </c>
      <c r="F24" s="14">
        <f>D24-E24</f>
        <v/>
      </c>
      <c r="G24" s="14">
        <f>$B$8 + D24*$B$9</f>
        <v/>
      </c>
      <c r="H24" s="14">
        <f>F24-G24</f>
        <v/>
      </c>
      <c r="I24" s="14">
        <f>IF(H24&gt;0,H24*$B$10,0)</f>
        <v/>
      </c>
      <c r="J24" s="14">
        <f>H24-I24</f>
        <v/>
      </c>
    </row>
    <row r="25">
      <c r="A25" s="11">
        <f>EDATE(A24,1)</f>
        <v/>
      </c>
      <c r="B25" s="12">
        <f>B24*(1+$B$6)</f>
        <v/>
      </c>
      <c r="C25" s="13">
        <f>$B$12</f>
        <v/>
      </c>
      <c r="D25" s="14">
        <f>B25*C25</f>
        <v/>
      </c>
      <c r="E25" s="14">
        <f>D25*$B$7</f>
        <v/>
      </c>
      <c r="F25" s="14">
        <f>D25-E25</f>
        <v/>
      </c>
      <c r="G25" s="14">
        <f>$B$8 + D25*$B$9</f>
        <v/>
      </c>
      <c r="H25" s="14">
        <f>F25-G25</f>
        <v/>
      </c>
      <c r="I25" s="14">
        <f>IF(H25&gt;0,H25*$B$10,0)</f>
        <v/>
      </c>
      <c r="J25" s="14">
        <f>H25-I25</f>
        <v/>
      </c>
    </row>
    <row r="26">
      <c r="A26" s="11">
        <f>EDATE(A25,1)</f>
        <v/>
      </c>
      <c r="B26" s="12">
        <f>B25*(1+$B$6)</f>
        <v/>
      </c>
      <c r="C26" s="13">
        <f>$B$12</f>
        <v/>
      </c>
      <c r="D26" s="14">
        <f>B26*C26</f>
        <v/>
      </c>
      <c r="E26" s="14">
        <f>D26*$B$7</f>
        <v/>
      </c>
      <c r="F26" s="14">
        <f>D26-E26</f>
        <v/>
      </c>
      <c r="G26" s="14">
        <f>$B$8 + D26*$B$9</f>
        <v/>
      </c>
      <c r="H26" s="14">
        <f>F26-G26</f>
        <v/>
      </c>
      <c r="I26" s="14">
        <f>IF(H26&gt;0,H26*$B$10,0)</f>
        <v/>
      </c>
      <c r="J26" s="14">
        <f>H26-I26</f>
        <v/>
      </c>
    </row>
    <row r="27">
      <c r="A27" s="11">
        <f>EDATE(A26,1)</f>
        <v/>
      </c>
      <c r="B27" s="12">
        <f>B26*(1+$B$6)</f>
        <v/>
      </c>
      <c r="C27" s="13">
        <f>$B$12</f>
        <v/>
      </c>
      <c r="D27" s="14">
        <f>B27*C27</f>
        <v/>
      </c>
      <c r="E27" s="14">
        <f>D27*$B$7</f>
        <v/>
      </c>
      <c r="F27" s="14">
        <f>D27-E27</f>
        <v/>
      </c>
      <c r="G27" s="14">
        <f>$B$8 + D27*$B$9</f>
        <v/>
      </c>
      <c r="H27" s="14">
        <f>F27-G27</f>
        <v/>
      </c>
      <c r="I27" s="14">
        <f>IF(H27&gt;0,H27*$B$10,0)</f>
        <v/>
      </c>
      <c r="J27" s="14">
        <f>H27-I27</f>
        <v/>
      </c>
    </row>
    <row r="28">
      <c r="A28" s="15" t="inlineStr">
        <is>
          <t>Total</t>
        </is>
      </c>
      <c r="B28" s="16">
        <f>SUM(B16:B27)</f>
        <v/>
      </c>
      <c r="C28" s="17" t="n"/>
      <c r="D28" s="18">
        <f>SUM(D16:D27)</f>
        <v/>
      </c>
      <c r="E28" s="18">
        <f>SUM(E16:E27)</f>
        <v/>
      </c>
      <c r="F28" s="18">
        <f>SUM(F16:F27)</f>
        <v/>
      </c>
      <c r="G28" s="18">
        <f>SUM(G16:G27)</f>
        <v/>
      </c>
      <c r="H28" s="18">
        <f>SUM(H16:H27)</f>
        <v/>
      </c>
      <c r="I28" s="18">
        <f>SUM(I16:I27)</f>
        <v/>
      </c>
      <c r="J28" s="18">
        <f>SUM(J16:J27)</f>
        <v/>
      </c>
    </row>
    <row r="30">
      <c r="A30" s="3" t="inlineStr">
        <is>
          <t>KPIs</t>
        </is>
      </c>
    </row>
    <row r="31">
      <c r="A31" s="4" t="inlineStr">
        <is>
          <t>Total Revenue</t>
        </is>
      </c>
      <c r="B31" s="19">
        <f>D28</f>
        <v/>
      </c>
    </row>
    <row r="32">
      <c r="A32" s="4" t="inlineStr">
        <is>
          <t>Gross Margin %</t>
        </is>
      </c>
      <c r="B32" s="20">
        <f>F28/D28</f>
        <v/>
      </c>
    </row>
    <row r="33">
      <c r="A33" s="4" t="inlineStr">
        <is>
          <t>Operating Margin %</t>
        </is>
      </c>
      <c r="B33" s="20">
        <f>H28/D28</f>
        <v/>
      </c>
    </row>
    <row r="34">
      <c r="A34" s="4" t="inlineStr">
        <is>
          <t>Net Margin %</t>
        </is>
      </c>
      <c r="B34" s="20">
        <f>J28/D28</f>
        <v/>
      </c>
    </row>
    <row r="35">
      <c r="A35" s="4" t="inlineStr">
        <is>
          <t>Avg Monthly Revenue</t>
        </is>
      </c>
      <c r="B35" s="19">
        <f>AVERAGE(D16:D27)</f>
        <v/>
      </c>
    </row>
  </sheetData>
  <mergeCells count="5">
    <mergeCell ref="A1:J1"/>
    <mergeCell ref="A14:J14"/>
    <mergeCell ref="A30:D30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2026-02-05T20:54:30Z</dcterms:created>
  <dcterms:modified xmlns:dcterms="http://purl.org/dc/terms/" xmlns:xsi="http://www.w3.org/2001/XMLSchema-instance" xsi:type="dcterms:W3CDTF">2026-02-05T20:54:30Z</dcterms:modified>
</cp:coreProperties>
</file>